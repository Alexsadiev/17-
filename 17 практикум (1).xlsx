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45" activeTab="8"/>
  </bookViews>
  <sheets>
    <sheet name="январь" sheetId="1" r:id="rId1"/>
    <sheet name="фев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0" l="1"/>
  <c r="E13" i="7"/>
  <c r="E12" i="7"/>
  <c r="E11" i="7"/>
  <c r="E10" i="7"/>
  <c r="E9" i="7"/>
  <c r="E8" i="7"/>
  <c r="E7" i="7"/>
  <c r="E6" i="7"/>
  <c r="E5" i="7"/>
  <c r="E4" i="7"/>
  <c r="E3" i="7"/>
  <c r="E14" i="7" s="1"/>
  <c r="C5" i="6"/>
  <c r="C4" i="6"/>
  <c r="C3" i="6"/>
  <c r="C2" i="6"/>
</calcChain>
</file>

<file path=xl/sharedStrings.xml><?xml version="1.0" encoding="utf-8"?>
<sst xmlns="http://schemas.openxmlformats.org/spreadsheetml/2006/main" count="111" uniqueCount="81">
  <si>
    <t>это первая строка</t>
  </si>
  <si>
    <t>это вторая строка</t>
  </si>
  <si>
    <t>Месяц</t>
  </si>
  <si>
    <t>январь</t>
  </si>
  <si>
    <t>февраль</t>
  </si>
  <si>
    <t>май</t>
  </si>
  <si>
    <t>Среда</t>
  </si>
  <si>
    <t>Алгебра</t>
  </si>
  <si>
    <t>История</t>
  </si>
  <si>
    <t>Физика</t>
  </si>
  <si>
    <t>Ин.яз.</t>
  </si>
  <si>
    <t>ОИВТ</t>
  </si>
  <si>
    <t>Химия</t>
  </si>
  <si>
    <t>9А</t>
  </si>
  <si>
    <t>9Б</t>
  </si>
  <si>
    <t>9В</t>
  </si>
  <si>
    <t>Класс</t>
  </si>
  <si>
    <t>Понедельник</t>
  </si>
  <si>
    <t>наименование устройства</t>
  </si>
  <si>
    <t>Информационная емкость в Гб</t>
  </si>
  <si>
    <t>Информационная емкость в Мб</t>
  </si>
  <si>
    <t>Жесткий магнитный диск</t>
  </si>
  <si>
    <t>CD-диск</t>
  </si>
  <si>
    <t>DVD-диск</t>
  </si>
  <si>
    <t>Flash-память</t>
  </si>
  <si>
    <t>Зарплата</t>
  </si>
  <si>
    <t>Фамилия</t>
  </si>
  <si>
    <t>Оплата за час</t>
  </si>
  <si>
    <t>Часов в день</t>
  </si>
  <si>
    <t xml:space="preserve">Дней </t>
  </si>
  <si>
    <t>Петров А.Д.</t>
  </si>
  <si>
    <t>Сидоров В.И.</t>
  </si>
  <si>
    <t>Иванов К.Т.</t>
  </si>
  <si>
    <t>Николаев С.Ю.</t>
  </si>
  <si>
    <t>Васечкин Д.Т.</t>
  </si>
  <si>
    <t>Юрьев Н.Л.</t>
  </si>
  <si>
    <t>Попов Р.Г.</t>
  </si>
  <si>
    <t>Синицын М.Н.</t>
  </si>
  <si>
    <t>Григорьев Р.О.</t>
  </si>
  <si>
    <t>Тимофеев Т.Н.</t>
  </si>
  <si>
    <t>Доценко А.Н.</t>
  </si>
  <si>
    <t>Сумма</t>
  </si>
  <si>
    <t>Название</t>
  </si>
  <si>
    <t>Площадь,тыс.кв.м.</t>
  </si>
  <si>
    <t>Наиб. Глубина, м</t>
  </si>
  <si>
    <t>Тихий</t>
  </si>
  <si>
    <t>Атлантический</t>
  </si>
  <si>
    <t>Индийский</t>
  </si>
  <si>
    <t>Сев.Ледовитый</t>
  </si>
  <si>
    <t>№ п/п</t>
  </si>
  <si>
    <t>Рус.язык</t>
  </si>
  <si>
    <t>история</t>
  </si>
  <si>
    <t>ИЗО</t>
  </si>
  <si>
    <t>Иванов</t>
  </si>
  <si>
    <t>Перов</t>
  </si>
  <si>
    <t>Галкин</t>
  </si>
  <si>
    <t>Краснов</t>
  </si>
  <si>
    <t>Сидоров</t>
  </si>
  <si>
    <t>Беляев</t>
  </si>
  <si>
    <t xml:space="preserve">расчет вознаграждения </t>
  </si>
  <si>
    <t>объем сделки</t>
  </si>
  <si>
    <t xml:space="preserve">размер вознаграждения </t>
  </si>
  <si>
    <t xml:space="preserve">Объем вознаграждения </t>
  </si>
  <si>
    <t>Среднее расстояние от Земли до Солнца, км</t>
  </si>
  <si>
    <t>Среднее расстояние от Земли до Луны, км</t>
  </si>
  <si>
    <t>Время полного оборота земли вокруг своейй оси, час:мин:сек</t>
  </si>
  <si>
    <t>Период вращения Земли вокргу Солнца, суток</t>
  </si>
  <si>
    <t>Средняя скорость вращения Земли по орбите, км/сек</t>
  </si>
  <si>
    <t>ОБЩИЕ СВЕДЕНИЯ О ПЛАНЕТЕ ЗЕМЛЯ</t>
  </si>
  <si>
    <t>Вторник</t>
  </si>
  <si>
    <t xml:space="preserve">Четверг </t>
  </si>
  <si>
    <t>Пятница</t>
  </si>
  <si>
    <t>Суббота</t>
  </si>
  <si>
    <t>Воскресенье</t>
  </si>
  <si>
    <t>Метро</t>
  </si>
  <si>
    <t>Автобус</t>
  </si>
  <si>
    <t>тролейбус</t>
  </si>
  <si>
    <t>Трамвай</t>
  </si>
  <si>
    <t>Стоимость одной поездки</t>
  </si>
  <si>
    <t>Всего за неделю</t>
  </si>
  <si>
    <t>сведения об океанах на земном шаре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</si>
</sst>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* #,##0\ &quot;₽&quot;_-;\-* #,##0\ &quot;₽&quot;_-;_-* &quot;-&quot;\ &quot;₽&quot;_-;_-@_-"/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92D05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B4CE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textRotation="255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/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0" fontId="0" fillId="0" borderId="0" xfId="0" applyNumberFormat="1"/>
    <xf numFmtId="42" fontId="0" fillId="0" borderId="0" xfId="0" applyNumberFormat="1"/>
    <xf numFmtId="3" fontId="0" fillId="0" borderId="0" xfId="0" applyNumberFormat="1"/>
    <xf numFmtId="2" fontId="0" fillId="0" borderId="0" xfId="0" applyNumberFormat="1" applyAlignment="1">
      <alignment horizontal="right" vertical="top"/>
    </xf>
    <xf numFmtId="164" fontId="0" fillId="0" borderId="0" xfId="0" applyNumberFormat="1"/>
    <xf numFmtId="0" fontId="0" fillId="0" borderId="1" xfId="0" applyBorder="1"/>
    <xf numFmtId="0" fontId="0" fillId="0" borderId="6" xfId="0" applyBorder="1"/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0" fillId="0" borderId="8" xfId="0" applyBorder="1"/>
    <xf numFmtId="0" fontId="6" fillId="0" borderId="1" xfId="0" applyFont="1" applyBorder="1" applyAlignment="1">
      <alignment vertical="top"/>
    </xf>
    <xf numFmtId="0" fontId="1" fillId="8" borderId="0" xfId="1" applyFill="1"/>
    <xf numFmtId="0" fontId="1" fillId="9" borderId="0" xfId="1" applyFill="1"/>
    <xf numFmtId="0" fontId="1" fillId="3" borderId="0" xfId="1" applyFill="1"/>
    <xf numFmtId="0" fontId="1" fillId="5" borderId="0" xfId="1" applyFill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255"/>
    </xf>
    <xf numFmtId="0" fontId="0" fillId="0" borderId="0" xfId="0" applyAlignment="1">
      <alignment horizontal="center" vertical="center" textRotation="90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0" fillId="0" borderId="4" xfId="0" applyBorder="1" applyAlignment="1">
      <alignment horizontal="righ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66FF33"/>
      <color rgb="FFC5B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2:C3"/>
  <sheetViews>
    <sheetView workbookViewId="0">
      <selection activeCell="B5" sqref="B5"/>
    </sheetView>
  </sheetViews>
  <sheetFormatPr defaultRowHeight="15" x14ac:dyDescent="0.25"/>
  <cols>
    <col min="1" max="1" width="4.7109375" customWidth="1"/>
    <col min="2" max="2" width="17" customWidth="1"/>
  </cols>
  <sheetData>
    <row r="2" spans="2:3" x14ac:dyDescent="0.25">
      <c r="B2" s="1" t="s">
        <v>0</v>
      </c>
      <c r="C2" s="4"/>
    </row>
    <row r="3" spans="2:3" x14ac:dyDescent="0.25">
      <c r="B3" s="2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2:D3"/>
  <sheetViews>
    <sheetView workbookViewId="0">
      <selection activeCell="B2" sqref="B2:D2"/>
    </sheetView>
  </sheetViews>
  <sheetFormatPr defaultRowHeight="15" x14ac:dyDescent="0.25"/>
  <sheetData>
    <row r="2" spans="2:4" ht="16.149999999999999" customHeight="1" x14ac:dyDescent="0.25">
      <c r="B2" s="37" t="s">
        <v>2</v>
      </c>
      <c r="C2" s="37"/>
      <c r="D2" s="37"/>
    </row>
    <row r="3" spans="2:4" ht="18" customHeight="1" x14ac:dyDescent="0.25">
      <c r="B3" s="7" t="s">
        <v>3</v>
      </c>
      <c r="C3" s="7" t="s">
        <v>4</v>
      </c>
      <c r="D3" s="7" t="s">
        <v>5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C8"/>
  <sheetViews>
    <sheetView workbookViewId="0">
      <selection activeCell="C2" sqref="C2:C8"/>
    </sheetView>
  </sheetViews>
  <sheetFormatPr defaultRowHeight="15" x14ac:dyDescent="0.25"/>
  <sheetData>
    <row r="2" spans="2:3" x14ac:dyDescent="0.25">
      <c r="B2" s="38" t="s">
        <v>6</v>
      </c>
      <c r="C2" t="s">
        <v>7</v>
      </c>
    </row>
    <row r="3" spans="2:3" x14ac:dyDescent="0.25">
      <c r="B3" s="38"/>
      <c r="C3" t="s">
        <v>8</v>
      </c>
    </row>
    <row r="4" spans="2:3" x14ac:dyDescent="0.25">
      <c r="B4" s="38"/>
      <c r="C4" t="s">
        <v>9</v>
      </c>
    </row>
    <row r="5" spans="2:3" x14ac:dyDescent="0.25">
      <c r="B5" s="38"/>
      <c r="C5" t="s">
        <v>10</v>
      </c>
    </row>
    <row r="6" spans="2:3" x14ac:dyDescent="0.25">
      <c r="B6" s="38"/>
      <c r="C6" t="s">
        <v>11</v>
      </c>
    </row>
    <row r="7" spans="2:3" x14ac:dyDescent="0.25">
      <c r="B7" s="38"/>
      <c r="C7" t="s">
        <v>11</v>
      </c>
    </row>
    <row r="8" spans="2:3" x14ac:dyDescent="0.25">
      <c r="B8" s="38"/>
      <c r="C8" t="s">
        <v>12</v>
      </c>
    </row>
  </sheetData>
  <mergeCells count="1">
    <mergeCell ref="B2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B2:E15"/>
  <sheetViews>
    <sheetView workbookViewId="0">
      <selection activeCell="I5" sqref="I5"/>
    </sheetView>
  </sheetViews>
  <sheetFormatPr defaultRowHeight="15" x14ac:dyDescent="0.25"/>
  <sheetData>
    <row r="2" spans="2:5" x14ac:dyDescent="0.25">
      <c r="B2" s="5"/>
    </row>
    <row r="3" spans="2:5" x14ac:dyDescent="0.25">
      <c r="B3" s="5"/>
    </row>
    <row r="4" spans="2:5" x14ac:dyDescent="0.25">
      <c r="B4" s="5"/>
    </row>
    <row r="5" spans="2:5" x14ac:dyDescent="0.25">
      <c r="B5" s="5"/>
    </row>
    <row r="6" spans="2:5" x14ac:dyDescent="0.25">
      <c r="B6" s="5"/>
    </row>
    <row r="7" spans="2:5" x14ac:dyDescent="0.25">
      <c r="B7" s="5"/>
      <c r="C7" s="39" t="s">
        <v>16</v>
      </c>
      <c r="D7" s="39"/>
      <c r="E7" s="39"/>
    </row>
    <row r="8" spans="2:5" x14ac:dyDescent="0.25">
      <c r="B8" s="5"/>
      <c r="C8" s="6" t="s">
        <v>13</v>
      </c>
      <c r="D8" s="6" t="s">
        <v>14</v>
      </c>
      <c r="E8" s="6" t="s">
        <v>15</v>
      </c>
    </row>
    <row r="9" spans="2:5" x14ac:dyDescent="0.25">
      <c r="B9" s="38" t="s">
        <v>6</v>
      </c>
      <c r="C9" t="s">
        <v>7</v>
      </c>
      <c r="D9" t="s">
        <v>11</v>
      </c>
      <c r="E9" t="s">
        <v>9</v>
      </c>
    </row>
    <row r="10" spans="2:5" x14ac:dyDescent="0.25">
      <c r="B10" s="38"/>
      <c r="C10" t="s">
        <v>8</v>
      </c>
      <c r="D10" t="s">
        <v>11</v>
      </c>
      <c r="E10" t="s">
        <v>7</v>
      </c>
    </row>
    <row r="11" spans="2:5" x14ac:dyDescent="0.25">
      <c r="B11" s="38"/>
      <c r="C11" t="s">
        <v>9</v>
      </c>
      <c r="D11" t="s">
        <v>7</v>
      </c>
      <c r="E11" t="s">
        <v>11</v>
      </c>
    </row>
    <row r="12" spans="2:5" x14ac:dyDescent="0.25">
      <c r="B12" s="38"/>
      <c r="C12" t="s">
        <v>10</v>
      </c>
      <c r="D12" t="s">
        <v>8</v>
      </c>
      <c r="E12" t="s">
        <v>11</v>
      </c>
    </row>
    <row r="13" spans="2:5" x14ac:dyDescent="0.25">
      <c r="B13" s="38"/>
      <c r="C13" t="s">
        <v>11</v>
      </c>
      <c r="D13" t="s">
        <v>9</v>
      </c>
      <c r="E13" t="s">
        <v>12</v>
      </c>
    </row>
    <row r="14" spans="2:5" x14ac:dyDescent="0.25">
      <c r="B14" s="38"/>
      <c r="C14" t="s">
        <v>11</v>
      </c>
      <c r="D14" t="s">
        <v>12</v>
      </c>
      <c r="E14" t="s">
        <v>10</v>
      </c>
    </row>
    <row r="15" spans="2:5" x14ac:dyDescent="0.25">
      <c r="B15" s="38"/>
      <c r="C15" t="s">
        <v>12</v>
      </c>
      <c r="D15" t="s">
        <v>10</v>
      </c>
      <c r="E15" t="s">
        <v>8</v>
      </c>
    </row>
  </sheetData>
  <mergeCells count="2">
    <mergeCell ref="B9:B15"/>
    <mergeCell ref="C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C13"/>
  <sheetViews>
    <sheetView workbookViewId="0">
      <selection activeCell="H10" sqref="H10"/>
    </sheetView>
  </sheetViews>
  <sheetFormatPr defaultRowHeight="15" x14ac:dyDescent="0.25"/>
  <sheetData>
    <row r="2" spans="2:3" ht="14.45" customHeight="1" x14ac:dyDescent="0.25">
      <c r="B2" s="40" t="s">
        <v>17</v>
      </c>
      <c r="C2" s="41" t="s">
        <v>17</v>
      </c>
    </row>
    <row r="3" spans="2:3" x14ac:dyDescent="0.25">
      <c r="B3" s="40"/>
      <c r="C3" s="41"/>
    </row>
    <row r="4" spans="2:3" x14ac:dyDescent="0.25">
      <c r="B4" s="40"/>
      <c r="C4" s="41"/>
    </row>
    <row r="5" spans="2:3" x14ac:dyDescent="0.25">
      <c r="B5" s="40"/>
      <c r="C5" s="41"/>
    </row>
    <row r="6" spans="2:3" x14ac:dyDescent="0.25">
      <c r="B6" s="40"/>
      <c r="C6" s="41"/>
    </row>
    <row r="7" spans="2:3" x14ac:dyDescent="0.25">
      <c r="B7" s="40"/>
      <c r="C7" s="41"/>
    </row>
    <row r="8" spans="2:3" x14ac:dyDescent="0.25">
      <c r="B8" s="40"/>
      <c r="C8" s="41"/>
    </row>
    <row r="9" spans="2:3" x14ac:dyDescent="0.25">
      <c r="B9" s="40"/>
      <c r="C9" s="41"/>
    </row>
    <row r="10" spans="2:3" x14ac:dyDescent="0.25">
      <c r="B10" s="40"/>
      <c r="C10" s="41"/>
    </row>
    <row r="11" spans="2:3" x14ac:dyDescent="0.25">
      <c r="B11" s="40"/>
      <c r="C11" s="41"/>
    </row>
    <row r="12" spans="2:3" x14ac:dyDescent="0.25">
      <c r="B12" s="40"/>
      <c r="C12" s="41"/>
    </row>
    <row r="13" spans="2:3" x14ac:dyDescent="0.25">
      <c r="B13" s="8"/>
    </row>
  </sheetData>
  <mergeCells count="2">
    <mergeCell ref="B2:B12"/>
    <mergeCell ref="C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5"/>
  <sheetViews>
    <sheetView workbookViewId="0">
      <selection activeCell="B1" sqref="B1"/>
    </sheetView>
  </sheetViews>
  <sheetFormatPr defaultRowHeight="15" x14ac:dyDescent="0.25"/>
  <cols>
    <col min="1" max="1" width="25.28515625" customWidth="1"/>
    <col min="2" max="2" width="30.5703125" customWidth="1"/>
    <col min="3" max="3" width="30.28515625" customWidth="1"/>
  </cols>
  <sheetData>
    <row r="1" spans="1:3" x14ac:dyDescent="0.25">
      <c r="A1" s="36" t="s">
        <v>18</v>
      </c>
      <c r="B1" s="36" t="s">
        <v>19</v>
      </c>
      <c r="C1" s="36" t="s">
        <v>20</v>
      </c>
    </row>
    <row r="2" spans="1:3" x14ac:dyDescent="0.25">
      <c r="A2" s="34" t="s">
        <v>21</v>
      </c>
      <c r="B2" s="33">
        <v>250</v>
      </c>
      <c r="C2" s="35">
        <f>PRODUCT(B2,1024)</f>
        <v>256000</v>
      </c>
    </row>
    <row r="3" spans="1:3" x14ac:dyDescent="0.25">
      <c r="A3" s="34" t="s">
        <v>22</v>
      </c>
      <c r="B3" s="33">
        <v>0.7</v>
      </c>
      <c r="C3" s="35">
        <f>PRODUCT(B3,1024)</f>
        <v>716.8</v>
      </c>
    </row>
    <row r="4" spans="1:3" x14ac:dyDescent="0.25">
      <c r="A4" s="34" t="s">
        <v>23</v>
      </c>
      <c r="B4" s="33">
        <v>4.7</v>
      </c>
      <c r="C4" s="35">
        <f>PRODUCT(B4,1024)</f>
        <v>4812.8</v>
      </c>
    </row>
    <row r="5" spans="1:3" x14ac:dyDescent="0.25">
      <c r="A5" s="34" t="s">
        <v>24</v>
      </c>
      <c r="B5" s="33">
        <v>16</v>
      </c>
      <c r="C5" s="35">
        <f>PRODUCT(B5,1024)</f>
        <v>16384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4"/>
  <sheetViews>
    <sheetView workbookViewId="0">
      <selection activeCell="K8" sqref="K8"/>
    </sheetView>
  </sheetViews>
  <sheetFormatPr defaultRowHeight="15" x14ac:dyDescent="0.25"/>
  <cols>
    <col min="1" max="1" width="13.42578125" customWidth="1"/>
    <col min="2" max="2" width="14" customWidth="1"/>
    <col min="3" max="3" width="14.5703125" customWidth="1"/>
    <col min="4" max="4" width="15.7109375" customWidth="1"/>
    <col min="5" max="5" width="12.7109375" customWidth="1"/>
  </cols>
  <sheetData>
    <row r="1" spans="1:5" x14ac:dyDescent="0.25">
      <c r="A1" s="42" t="s">
        <v>25</v>
      </c>
      <c r="B1" s="42"/>
      <c r="C1" s="42"/>
      <c r="D1" s="42"/>
      <c r="E1" s="42"/>
    </row>
    <row r="2" spans="1:5" x14ac:dyDescent="0.25">
      <c r="A2" s="9" t="s">
        <v>26</v>
      </c>
      <c r="B2" s="10" t="s">
        <v>27</v>
      </c>
      <c r="C2" s="10" t="s">
        <v>28</v>
      </c>
      <c r="D2" s="10" t="s">
        <v>29</v>
      </c>
      <c r="E2" s="10" t="s">
        <v>25</v>
      </c>
    </row>
    <row r="3" spans="1:5" x14ac:dyDescent="0.25">
      <c r="A3" s="13" t="s">
        <v>30</v>
      </c>
      <c r="B3" s="12">
        <v>24</v>
      </c>
      <c r="C3" s="12">
        <v>8</v>
      </c>
      <c r="D3" s="12">
        <v>22</v>
      </c>
      <c r="E3" s="11">
        <f>PRODUCT(B3:C3:D3)</f>
        <v>4224</v>
      </c>
    </row>
    <row r="4" spans="1:5" x14ac:dyDescent="0.25">
      <c r="A4" s="13" t="s">
        <v>31</v>
      </c>
      <c r="B4" s="12">
        <v>16</v>
      </c>
      <c r="C4" s="12">
        <v>7</v>
      </c>
      <c r="D4" s="12">
        <v>18</v>
      </c>
      <c r="E4" s="11">
        <f>PRODUCT(B4:C4:D4)</f>
        <v>2016</v>
      </c>
    </row>
    <row r="5" spans="1:5" x14ac:dyDescent="0.25">
      <c r="A5" s="13" t="s">
        <v>32</v>
      </c>
      <c r="B5" s="12">
        <v>36</v>
      </c>
      <c r="C5" s="12">
        <v>8</v>
      </c>
      <c r="D5" s="12">
        <v>20</v>
      </c>
      <c r="E5" s="11">
        <f t="shared" ref="E5:E13" si="0">PRODUCT(B5:D5)</f>
        <v>5760</v>
      </c>
    </row>
    <row r="6" spans="1:5" x14ac:dyDescent="0.25">
      <c r="A6" s="13" t="s">
        <v>33</v>
      </c>
      <c r="B6" s="12">
        <v>20</v>
      </c>
      <c r="C6" s="12">
        <v>6</v>
      </c>
      <c r="D6" s="12">
        <v>19</v>
      </c>
      <c r="E6" s="11">
        <f t="shared" si="0"/>
        <v>2280</v>
      </c>
    </row>
    <row r="7" spans="1:5" x14ac:dyDescent="0.25">
      <c r="A7" s="13" t="s">
        <v>34</v>
      </c>
      <c r="B7" s="12">
        <v>19</v>
      </c>
      <c r="C7" s="12">
        <v>7</v>
      </c>
      <c r="D7" s="12">
        <v>21</v>
      </c>
      <c r="E7" s="11">
        <f t="shared" si="0"/>
        <v>2793</v>
      </c>
    </row>
    <row r="8" spans="1:5" x14ac:dyDescent="0.25">
      <c r="A8" s="13" t="s">
        <v>35</v>
      </c>
      <c r="B8" s="12">
        <v>34</v>
      </c>
      <c r="C8" s="12">
        <v>6</v>
      </c>
      <c r="D8" s="12">
        <v>22</v>
      </c>
      <c r="E8" s="11">
        <f t="shared" si="0"/>
        <v>4488</v>
      </c>
    </row>
    <row r="9" spans="1:5" x14ac:dyDescent="0.25">
      <c r="A9" s="13" t="s">
        <v>36</v>
      </c>
      <c r="B9" s="12">
        <v>30</v>
      </c>
      <c r="C9" s="12">
        <v>7</v>
      </c>
      <c r="D9" s="12">
        <v>20</v>
      </c>
      <c r="E9" s="11">
        <f t="shared" si="0"/>
        <v>4200</v>
      </c>
    </row>
    <row r="10" spans="1:5" x14ac:dyDescent="0.25">
      <c r="A10" s="13" t="s">
        <v>37</v>
      </c>
      <c r="B10" s="12">
        <v>25</v>
      </c>
      <c r="C10" s="12">
        <v>8</v>
      </c>
      <c r="D10" s="12">
        <v>19</v>
      </c>
      <c r="E10" s="11">
        <f t="shared" si="0"/>
        <v>3800</v>
      </c>
    </row>
    <row r="11" spans="1:5" x14ac:dyDescent="0.25">
      <c r="A11" s="13" t="s">
        <v>38</v>
      </c>
      <c r="B11" s="12">
        <v>31</v>
      </c>
      <c r="C11" s="12">
        <v>8</v>
      </c>
      <c r="D11" s="12">
        <v>22</v>
      </c>
      <c r="E11" s="11">
        <f t="shared" si="0"/>
        <v>5456</v>
      </c>
    </row>
    <row r="12" spans="1:5" x14ac:dyDescent="0.25">
      <c r="A12" s="13" t="s">
        <v>39</v>
      </c>
      <c r="B12" s="12">
        <v>33</v>
      </c>
      <c r="C12" s="12">
        <v>7</v>
      </c>
      <c r="D12" s="12">
        <v>21</v>
      </c>
      <c r="E12" s="11">
        <f t="shared" si="0"/>
        <v>4851</v>
      </c>
    </row>
    <row r="13" spans="1:5" x14ac:dyDescent="0.25">
      <c r="A13" s="13" t="s">
        <v>40</v>
      </c>
      <c r="B13" s="12">
        <v>15</v>
      </c>
      <c r="C13" s="12">
        <v>6</v>
      </c>
      <c r="D13" s="12">
        <v>19</v>
      </c>
      <c r="E13" s="11">
        <f t="shared" si="0"/>
        <v>1710</v>
      </c>
    </row>
    <row r="14" spans="1:5" x14ac:dyDescent="0.25">
      <c r="A14" s="43" t="s">
        <v>41</v>
      </c>
      <c r="B14" s="43"/>
      <c r="C14" s="43"/>
      <c r="D14" s="43"/>
      <c r="E14" s="10">
        <f>SUM(E3:E13)</f>
        <v>41578</v>
      </c>
    </row>
  </sheetData>
  <mergeCells count="2">
    <mergeCell ref="A1:E1"/>
    <mergeCell ref="A14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C6"/>
  <sheetViews>
    <sheetView workbookViewId="0">
      <selection sqref="A1:C1"/>
    </sheetView>
  </sheetViews>
  <sheetFormatPr defaultRowHeight="15" x14ac:dyDescent="0.25"/>
  <cols>
    <col min="1" max="1" width="14.28515625" customWidth="1"/>
    <col min="2" max="2" width="16.85546875" customWidth="1"/>
    <col min="3" max="3" width="16.140625" customWidth="1"/>
  </cols>
  <sheetData>
    <row r="1" spans="1:3" x14ac:dyDescent="0.25">
      <c r="A1" s="38" t="s">
        <v>80</v>
      </c>
      <c r="B1" s="38"/>
      <c r="C1" s="38"/>
    </row>
    <row r="2" spans="1:3" x14ac:dyDescent="0.25">
      <c r="A2" t="s">
        <v>42</v>
      </c>
      <c r="B2" t="s">
        <v>43</v>
      </c>
      <c r="C2" t="s">
        <v>44</v>
      </c>
    </row>
    <row r="3" spans="1:3" x14ac:dyDescent="0.25">
      <c r="A3" t="s">
        <v>45</v>
      </c>
      <c r="B3">
        <v>178684</v>
      </c>
      <c r="C3">
        <v>11022</v>
      </c>
    </row>
    <row r="4" spans="1:3" x14ac:dyDescent="0.25">
      <c r="A4" t="s">
        <v>46</v>
      </c>
      <c r="B4">
        <v>91655</v>
      </c>
      <c r="C4">
        <v>8742</v>
      </c>
    </row>
    <row r="5" spans="1:3" x14ac:dyDescent="0.25">
      <c r="A5" t="s">
        <v>47</v>
      </c>
      <c r="B5">
        <v>76174</v>
      </c>
      <c r="C5">
        <v>7729</v>
      </c>
    </row>
    <row r="6" spans="1:3" x14ac:dyDescent="0.25">
      <c r="A6" t="s">
        <v>48</v>
      </c>
      <c r="B6">
        <v>14756</v>
      </c>
      <c r="C6">
        <v>5527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7"/>
  <sheetViews>
    <sheetView tabSelected="1" workbookViewId="0">
      <selection activeCell="H5" sqref="H5"/>
    </sheetView>
  </sheetViews>
  <sheetFormatPr defaultRowHeight="15" x14ac:dyDescent="0.25"/>
  <cols>
    <col min="2" max="2" width="9.28515625" customWidth="1"/>
    <col min="3" max="3" width="9.5703125" customWidth="1"/>
    <col min="4" max="4" width="9.28515625" customWidth="1"/>
    <col min="5" max="5" width="10" customWidth="1"/>
  </cols>
  <sheetData>
    <row r="1" spans="1:7" x14ac:dyDescent="0.25">
      <c r="A1" s="14" t="s">
        <v>49</v>
      </c>
      <c r="B1" s="15" t="s">
        <v>26</v>
      </c>
      <c r="C1" s="15" t="s">
        <v>50</v>
      </c>
      <c r="D1" s="15" t="s">
        <v>9</v>
      </c>
      <c r="E1" s="15" t="s">
        <v>51</v>
      </c>
      <c r="F1" s="15" t="s">
        <v>7</v>
      </c>
      <c r="G1" s="15" t="s">
        <v>52</v>
      </c>
    </row>
    <row r="2" spans="1:7" x14ac:dyDescent="0.25">
      <c r="A2" s="16">
        <v>1</v>
      </c>
      <c r="B2" s="17" t="s">
        <v>53</v>
      </c>
      <c r="C2" s="18">
        <v>5</v>
      </c>
      <c r="D2" s="19">
        <v>4</v>
      </c>
      <c r="E2" s="18">
        <v>5</v>
      </c>
      <c r="F2" s="18">
        <v>5</v>
      </c>
      <c r="G2" s="19">
        <v>4</v>
      </c>
    </row>
    <row r="3" spans="1:7" x14ac:dyDescent="0.25">
      <c r="A3" s="16">
        <v>2</v>
      </c>
      <c r="B3" s="17" t="s">
        <v>54</v>
      </c>
      <c r="C3" s="19">
        <v>4</v>
      </c>
      <c r="D3" s="18">
        <v>5</v>
      </c>
      <c r="E3" s="18">
        <v>5</v>
      </c>
      <c r="F3" s="20">
        <v>3</v>
      </c>
      <c r="G3" s="18">
        <v>5</v>
      </c>
    </row>
    <row r="4" spans="1:7" x14ac:dyDescent="0.25">
      <c r="A4" s="16">
        <v>3</v>
      </c>
      <c r="B4" s="17" t="s">
        <v>55</v>
      </c>
      <c r="C4" s="18">
        <v>5</v>
      </c>
      <c r="D4" s="18">
        <v>5</v>
      </c>
      <c r="E4" s="18">
        <v>5</v>
      </c>
      <c r="F4" s="18">
        <v>5</v>
      </c>
      <c r="G4" s="19">
        <v>4</v>
      </c>
    </row>
    <row r="5" spans="1:7" x14ac:dyDescent="0.25">
      <c r="A5" s="16">
        <v>4</v>
      </c>
      <c r="B5" s="17" t="s">
        <v>56</v>
      </c>
      <c r="C5" s="19">
        <v>4</v>
      </c>
      <c r="D5" s="18">
        <v>5</v>
      </c>
      <c r="E5" s="19">
        <v>4</v>
      </c>
      <c r="F5" s="19">
        <v>4</v>
      </c>
      <c r="G5" s="20">
        <v>3</v>
      </c>
    </row>
    <row r="6" spans="1:7" x14ac:dyDescent="0.25">
      <c r="A6" s="16">
        <v>5</v>
      </c>
      <c r="B6" s="17" t="s">
        <v>57</v>
      </c>
      <c r="C6" s="20">
        <v>3</v>
      </c>
      <c r="D6" s="20">
        <v>3</v>
      </c>
      <c r="E6" s="18">
        <v>5</v>
      </c>
      <c r="F6" s="18">
        <v>5</v>
      </c>
      <c r="G6" s="20">
        <v>3</v>
      </c>
    </row>
    <row r="7" spans="1:7" x14ac:dyDescent="0.25">
      <c r="A7" s="16">
        <v>6</v>
      </c>
      <c r="B7" s="17" t="s">
        <v>58</v>
      </c>
      <c r="C7" s="19">
        <v>4</v>
      </c>
      <c r="D7" s="19">
        <v>4</v>
      </c>
      <c r="E7" s="18">
        <v>5</v>
      </c>
      <c r="F7" s="20">
        <v>3</v>
      </c>
      <c r="G7" s="18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4"/>
  <sheetViews>
    <sheetView workbookViewId="0">
      <selection activeCell="B4" sqref="B4"/>
    </sheetView>
  </sheetViews>
  <sheetFormatPr defaultRowHeight="15" x14ac:dyDescent="0.25"/>
  <cols>
    <col min="1" max="1" width="22.85546875" customWidth="1"/>
    <col min="2" max="2" width="10.7109375" customWidth="1"/>
  </cols>
  <sheetData>
    <row r="1" spans="1:2" x14ac:dyDescent="0.25">
      <c r="A1" s="44" t="s">
        <v>59</v>
      </c>
      <c r="B1" s="44"/>
    </row>
    <row r="2" spans="1:2" x14ac:dyDescent="0.25">
      <c r="A2" s="21" t="s">
        <v>60</v>
      </c>
      <c r="B2" s="23">
        <v>5000</v>
      </c>
    </row>
    <row r="3" spans="1:2" x14ac:dyDescent="0.25">
      <c r="A3" s="21" t="s">
        <v>61</v>
      </c>
      <c r="B3" s="22">
        <v>5.5E-2</v>
      </c>
    </row>
    <row r="4" spans="1:2" x14ac:dyDescent="0.25">
      <c r="A4" s="21" t="s">
        <v>62</v>
      </c>
      <c r="B4" s="23">
        <f>PRODUCT(B2,B3)</f>
        <v>275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4:C9"/>
  <sheetViews>
    <sheetView workbookViewId="0">
      <selection activeCell="F16" sqref="F16"/>
    </sheetView>
  </sheetViews>
  <sheetFormatPr defaultRowHeight="15" x14ac:dyDescent="0.25"/>
  <cols>
    <col min="1" max="1" width="4.5703125" customWidth="1"/>
    <col min="2" max="2" width="54.5703125" customWidth="1"/>
    <col min="3" max="3" width="13.42578125" customWidth="1"/>
  </cols>
  <sheetData>
    <row r="4" spans="1:3" x14ac:dyDescent="0.25">
      <c r="A4" s="44" t="s">
        <v>68</v>
      </c>
      <c r="B4" s="44"/>
      <c r="C4" s="44"/>
    </row>
    <row r="5" spans="1:3" x14ac:dyDescent="0.25">
      <c r="A5" s="6">
        <v>1</v>
      </c>
      <c r="B5" s="21" t="s">
        <v>63</v>
      </c>
      <c r="C5" s="24">
        <v>149600000</v>
      </c>
    </row>
    <row r="6" spans="1:3" x14ac:dyDescent="0.25">
      <c r="A6" s="6">
        <v>2</v>
      </c>
      <c r="B6" s="21" t="s">
        <v>64</v>
      </c>
      <c r="C6">
        <v>384000</v>
      </c>
    </row>
    <row r="7" spans="1:3" x14ac:dyDescent="0.25">
      <c r="A7" s="6">
        <v>3</v>
      </c>
      <c r="B7" s="21" t="s">
        <v>65</v>
      </c>
      <c r="C7" s="26">
        <v>0.9972685185185185</v>
      </c>
    </row>
    <row r="8" spans="1:3" x14ac:dyDescent="0.25">
      <c r="A8" s="6">
        <v>4</v>
      </c>
      <c r="B8" s="21" t="s">
        <v>66</v>
      </c>
      <c r="C8">
        <v>365.25599999999997</v>
      </c>
    </row>
    <row r="9" spans="1:3" x14ac:dyDescent="0.25">
      <c r="A9" s="6">
        <v>5</v>
      </c>
      <c r="B9" s="21" t="s">
        <v>67</v>
      </c>
      <c r="C9" s="25">
        <v>29.8</v>
      </c>
    </row>
  </sheetData>
  <mergeCells count="1">
    <mergeCell ref="A4:C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B1" sqref="B1"/>
    </sheetView>
  </sheetViews>
  <sheetFormatPr defaultRowHeight="15" x14ac:dyDescent="0.25"/>
  <cols>
    <col min="1" max="1" width="11.28515625" customWidth="1"/>
    <col min="2" max="2" width="13" customWidth="1"/>
    <col min="8" max="8" width="11.42578125" customWidth="1"/>
  </cols>
  <sheetData>
    <row r="1" spans="1:8" ht="20.45" customHeight="1" x14ac:dyDescent="0.25">
      <c r="A1" s="28"/>
      <c r="B1" s="32" t="s">
        <v>17</v>
      </c>
      <c r="C1" s="32" t="s">
        <v>69</v>
      </c>
      <c r="D1" s="32" t="s">
        <v>6</v>
      </c>
      <c r="E1" s="32" t="s">
        <v>70</v>
      </c>
      <c r="F1" s="32" t="s">
        <v>71</v>
      </c>
      <c r="G1" s="32" t="s">
        <v>72</v>
      </c>
      <c r="H1" s="32" t="s">
        <v>73</v>
      </c>
    </row>
    <row r="2" spans="1:8" x14ac:dyDescent="0.25">
      <c r="A2" s="29" t="s">
        <v>74</v>
      </c>
      <c r="B2" s="27"/>
      <c r="C2" s="27"/>
      <c r="D2" s="27"/>
      <c r="E2" s="27"/>
      <c r="F2" s="27"/>
      <c r="G2" s="27"/>
      <c r="H2" s="27"/>
    </row>
    <row r="3" spans="1:8" x14ac:dyDescent="0.25">
      <c r="A3" s="29" t="s">
        <v>75</v>
      </c>
      <c r="B3" s="27"/>
      <c r="C3" s="27"/>
      <c r="D3" s="27"/>
      <c r="E3" s="27"/>
      <c r="F3" s="27"/>
      <c r="G3" s="27"/>
      <c r="H3" s="27"/>
    </row>
    <row r="4" spans="1:8" x14ac:dyDescent="0.25">
      <c r="A4" s="29" t="s">
        <v>76</v>
      </c>
      <c r="B4" s="27"/>
      <c r="C4" s="27"/>
      <c r="D4" s="27"/>
      <c r="E4" s="27"/>
      <c r="F4" s="27"/>
      <c r="G4" s="27"/>
      <c r="H4" s="27"/>
    </row>
    <row r="5" spans="1:8" x14ac:dyDescent="0.25">
      <c r="A5" s="30" t="s">
        <v>77</v>
      </c>
      <c r="B5" s="1"/>
      <c r="C5" s="27"/>
      <c r="D5" s="27"/>
      <c r="E5" s="27"/>
      <c r="F5" s="27"/>
      <c r="G5" s="27"/>
      <c r="H5" s="27"/>
    </row>
    <row r="6" spans="1:8" x14ac:dyDescent="0.25">
      <c r="A6" s="45" t="s">
        <v>78</v>
      </c>
      <c r="B6" s="46"/>
      <c r="C6" s="27"/>
      <c r="D6" s="3"/>
      <c r="E6" s="31"/>
      <c r="F6" s="45" t="s">
        <v>79</v>
      </c>
      <c r="G6" s="47"/>
      <c r="H6" s="27"/>
    </row>
  </sheetData>
  <mergeCells count="2">
    <mergeCell ref="A6:B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2025-02-12T07:13:30Z</dcterms:modified>
</cp:coreProperties>
</file>